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<sst xmlns="http://schemas.openxmlformats.org/spreadsheetml/2006/main" count="145" uniqueCount="109">
  <si>
    <t>#</t>
  </si>
  <si>
    <t>Categoría</t>
  </si>
  <si>
    <t>Servicio / Tecnología</t>
  </si>
  <si>
    <t>Modalidad de cobro</t>
  </si>
  <si>
    <t>Costo del servicio</t>
  </si>
  <si>
    <t>Detalles de Costo</t>
  </si>
  <si>
    <t>Costo mensual considerado</t>
  </si>
  <si>
    <t>¿Obligatorio?</t>
  </si>
  <si>
    <t>¿Para qué se utilizará?</t>
  </si>
  <si>
    <t>Dominio</t>
  </si>
  <si>
    <t>Cloudflare — dominio .com (recomendamos iondu.org)</t>
  </si>
  <si>
    <t>Anual</t>
  </si>
  <si>
    <t>Registro del dominio .com para IONDU. El costo corresponde al primer año de contratación.</t>
  </si>
  <si>
    <t>✅</t>
  </si>
  <si>
    <t>Dirección web oficial de IONDU</t>
  </si>
  <si>
    <t>Frontend / Hosting</t>
  </si>
  <si>
    <t>Vercel Pro</t>
  </si>
  <si>
    <t>Mensual</t>
  </si>
  <si>
    <t>Hospedaje de la aplicación web (PWA), incluyendo distribución mediante CDN, certificado HTTPS y despliegues automáticos.</t>
  </si>
  <si>
    <t>Hospedar la aplicación web PWA, permitiendo su acceso seguro mediante HTTPS y distribución mediante CDN.</t>
  </si>
  <si>
    <t>Backend / Hosting</t>
  </si>
  <si>
    <t>DigitalOcean App Platform</t>
  </si>
  <si>
    <t>Plan de producción con recursos compartidos de DigitalOcean App Platform para alojar la API desarrollada en Python, la lógica de negocio, la integración con el SRI, el agente IA y los procesos automáticos del sistema.</t>
  </si>
  <si>
    <t>Ejecutar la API, la lógica de negocio, la integración con el SRI, el agente IA y los procesos automáticos del sistema.</t>
  </si>
  <si>
    <t>Base de datos</t>
  </si>
  <si>
    <t>Supabase Pro — PostgreSQL</t>
  </si>
  <si>
    <t>Base de datos PostgreSQL administrada para almacenar toda la información del sistema (usuarios, ventas, gastos, inventario, configuración, entre otros).</t>
  </si>
  <si>
    <t>Almacenar la información del sistema, incluyendo usuarios, empresas, ventas, gastos, productos, inventario y facturas.</t>
  </si>
  <si>
    <t>Autenticación</t>
  </si>
  <si>
    <t>Supabase Auth</t>
  </si>
  <si>
    <t>Incluido en Supabase</t>
  </si>
  <si>
    <t>$0 adicional</t>
  </si>
  <si>
    <t>Servicio incluido en Supabase Pro para la autenticación de usuarios y administración de sesiones.</t>
  </si>
  <si>
    <t>Gestionar el inicio de sesión, las sesiones activas y la autenticación de los usuarios.</t>
  </si>
  <si>
    <t>Almacenamiento</t>
  </si>
  <si>
    <t>Supabase Storage</t>
  </si>
  <si>
    <t>Incluido / consumo</t>
  </si>
  <si>
    <t>Servicio incluido en Supabase Pro para almacenar archivos como comprobantes XML, PDF e imágenes.</t>
  </si>
  <si>
    <t>Almacenar archivos del sistema como comprobantes XML, PDF e imágenes.</t>
  </si>
  <si>
    <t>Integración SRI</t>
  </si>
  <si>
    <t>Desarrollo In-House en Python</t>
  </si>
  <si>
    <t>Desarrollo propio</t>
  </si>
  <si>
    <t>$0 servicio a desarrollar</t>
  </si>
  <si>
    <t>Implementación desarrollada por el equipo para la generación, firma, envío, autorización y consulta de comprobantes electrónicos ante el SRI. No requiere contratar un proveedor externo.</t>
  </si>
  <si>
    <t>Emitir, firmar, enviar, consultar y gestionar comprobantes electrónicos ante el SRI.</t>
  </si>
  <si>
    <t>Firma electrónica</t>
  </si>
  <si>
    <t>Certificado digital .p12 del cliente</t>
  </si>
  <si>
    <t>Proporcionado por cliente</t>
  </si>
  <si>
    <t>$0 para el proyecto</t>
  </si>
  <si>
    <t>El sistema requiere un certificado digital (.p12) vigente para firmar electrónicamente los comprobantes. Este certificado será proporcionado por la empresa cliente.</t>
  </si>
  <si>
    <t>Firmar digitalmente los comprobantes electrónicos antes de su envío al SRI.</t>
  </si>
  <si>
    <t>IA multimodal</t>
  </si>
  <si>
    <t>OpenAI API</t>
  </si>
  <si>
    <t>Por consumo</t>
  </si>
  <si>
    <t>~$15,00</t>
  </si>
  <si>
    <t>Consumo estimado de la API de OpenAI (GPT-4o-mini) para el procesamiento de texto, imágenes y voz. El costo mensual puede variar según el uso del sistema.</t>
  </si>
  <si>
    <t>Procesar texto, imágenes y voz para la captura inteligente, clasificación de información y generación de recomendaciones.</t>
  </si>
  <si>
    <t>Correos</t>
  </si>
  <si>
    <t>Resend Pro + Integración IMAP (Backend Python)</t>
  </si>
  <si>
    <t>Mensual + Desarrollo propio</t>
  </si>
  <si>
    <t>$20,00</t>
  </si>
  <si>
    <t>Resend será utilizado para el envío de correos transaccionales (recuperación de contraseña y notificaciones). Además, el backend implementará la conexión al buzón de correo mediante IMAP para procesar automáticamente las facturas recibidas (XML y PDF), sin requerir un servicio adicional.</t>
  </si>
  <si>
    <t>Enviar correos del sistema y procesar automáticamente las facturas electrónicas recibidas por correo.</t>
  </si>
  <si>
    <t>Procesos Progamados</t>
  </si>
  <si>
    <t>Procesos programados de DigitalOcean App Platform</t>
  </si>
  <si>
    <t>Incluido</t>
  </si>
  <si>
    <t>$0,00</t>
  </si>
  <si>
    <t>Funcionalidad incluida en DigitalOcean App Platform para ejecutar automáticamente procesos periódicos del sistema, sin requerir un servicio adicional.</t>
  </si>
  <si>
    <t>Ejecutar procesos automáticos, como la lectura de correos, alertas de inventario y tareas periódicas del sistema.</t>
  </si>
  <si>
    <t>Monitoreo</t>
  </si>
  <si>
    <t>Sentry Free</t>
  </si>
  <si>
    <t>Gratis</t>
  </si>
  <si>
    <t>Monitoreo centralizado de errores y excepciones del frontend y backend para facilitar el mantenimiento y la detección de fallos.</t>
  </si>
  <si>
    <t>Detectar y registrar errores del frontend y backend para facilitar su diagnóstico y corrección.</t>
  </si>
  <si>
    <t>Repositorio</t>
  </si>
  <si>
    <t>GitHub Free</t>
  </si>
  <si>
    <t>Repositorio privado para almacenar el código fuente y gestionar el control de versiones del proyecto mediante Git.</t>
  </si>
  <si>
    <t>Gestionar el código fuente y mantener el historial de versiones del proyecto.</t>
  </si>
  <si>
    <t>CI/CD</t>
  </si>
  <si>
    <t>GitHub Actions / despliegue automático</t>
  </si>
  <si>
    <t>Automatización de pruebas y despliegues utilizando GitHub Actions, incluida dentro del plan seleccionado.</t>
  </si>
  <si>
    <t>🟡</t>
  </si>
  <si>
    <t>Automatizar las pruebas y el despliegue de nuevas versiones de la aplicación.</t>
  </si>
  <si>
    <t>SSL / HTTPS</t>
  </si>
  <si>
    <t>Vercel + Cloudflare</t>
  </si>
  <si>
    <t>Certificados SSL administrados automáticamente para garantizar comunicaciones seguras mediante HTTPS.</t>
  </si>
  <si>
    <t>Garantizar una comunicación segura entre los usuarios y la aplicación mediante HTTPS.</t>
  </si>
  <si>
    <t>Gestión de secretos</t>
  </si>
  <si>
    <t>Variables/Secrets de DigitalOcean</t>
  </si>
  <si>
    <t>Almacenamiento seguro de claves API, credenciales y variables de entorno utilizadas por la aplicación.</t>
  </si>
  <si>
    <t>Almacenar de forma segura las claves API, credenciales y variables de entorno utilizadas por el sistema.</t>
  </si>
  <si>
    <t>Backups</t>
  </si>
  <si>
    <t>Supabase Backups</t>
  </si>
  <si>
    <t>Incluido en plan</t>
  </si>
  <si>
    <t>Copias de seguridad automáticas de la base de datos incluidas en el plan Supabase Pro para facilitar la recuperación ante fallos.</t>
  </si>
  <si>
    <t>Recuperar la información del sistema ante pérdidas o fallos de la base de datos.</t>
  </si>
  <si>
    <t>Auditoría</t>
  </si>
  <si>
    <t>Sistema propio + Supabase</t>
  </si>
  <si>
    <t>Registro de las acciones realizadas por los usuarios y de las operaciones críticas ejecutadas dentro del sistema para garantizar la trazabilidad.</t>
  </si>
  <si>
    <t>Registrar las acciones de los usuarios y las operaciones críticas para garantizar la trazabilidad del sistema.</t>
  </si>
  <si>
    <t>Seguridad de archivos</t>
  </si>
  <si>
    <t>Supabase Storage + políticas de acceso</t>
  </si>
  <si>
    <t>Políticas de acceso y permisos para proteger los documentos almacenados (XML, PDF e imágenes).</t>
  </si>
  <si>
    <t>Proteger el acceso a los documentos almacenados, como XML, PDF e imágenes.</t>
  </si>
  <si>
    <t>Entorno de pruebas</t>
  </si>
  <si>
    <t>Compartido con infraestructura principal</t>
  </si>
  <si>
    <t>Opcional</t>
  </si>
  <si>
    <t>Se utilizará un entorno de pruebas sobre la misma infraestructura antes de publicar cambios en producción, sin generar costos adicionales para el MVP.</t>
  </si>
  <si>
    <t>Validar los cambios realizados antes de su despliegue al entorno de producción.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</si>
</sst>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2" fontId="2" numFmtId="164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1"/>
    </xf>
    <xf borderId="0" fillId="2" fontId="2" numFmtId="164" xfId="0" applyAlignment="1" applyFill="1" applyFont="1" applyNumberFormat="1">
      <alignment horizontal="right" readingOrder="0" shrinkToFit="0" vertical="center" wrapText="1"/>
    </xf>
    <xf borderId="0" fillId="2" fontId="2" numFmtId="164" xfId="0" applyAlignment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Hoj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22" displayName="Tabla_1" name="Tabla_1" id="1">
  <tableColumns count="9">
    <tableColumn name="#" id="1"/>
    <tableColumn name="Categoría" id="2"/>
    <tableColumn name="Servicio / Tecnología" id="3"/>
    <tableColumn name="Modalidad de cobro" id="4"/>
    <tableColumn name="Costo del servicio" id="5"/>
    <tableColumn name="Detalles de Costo" id="6"/>
    <tableColumn totalsRowFunction="custom" name="Costo mensual considerado" id="7"/>
    <tableColumn name="¿Obligatorio?" id="8"/>
    <tableColumn name="¿Para qué se utilizará?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9.13"/>
    <col customWidth="1" min="3" max="3" width="51.38"/>
    <col customWidth="1" min="4" max="4" width="23.13"/>
    <col customWidth="1" min="5" max="5" width="22.63"/>
    <col customWidth="1" min="6" max="6" width="117.0"/>
    <col customWidth="1" min="7" max="7" width="18.88"/>
    <col customWidth="1" min="8" max="8" width="18.75"/>
    <col customWidth="1" min="9" max="9" width="7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ht="22.5" customHeight="1">
      <c r="A2" s="5">
        <v>1.0</v>
      </c>
      <c r="B2" s="6" t="s">
        <v>9</v>
      </c>
      <c r="C2" s="7" t="s">
        <v>10</v>
      </c>
      <c r="D2" s="6" t="s">
        <v>11</v>
      </c>
      <c r="E2" s="8">
        <v>11.2</v>
      </c>
      <c r="F2" s="6" t="s">
        <v>12</v>
      </c>
      <c r="G2" s="8">
        <f>E2/12</f>
        <v>0.9333333333</v>
      </c>
      <c r="H2" s="9" t="s">
        <v>13</v>
      </c>
      <c r="I2" s="6" t="s">
        <v>14</v>
      </c>
    </row>
    <row r="3" ht="22.5" customHeight="1">
      <c r="A3" s="5">
        <v>2.0</v>
      </c>
      <c r="B3" s="6" t="s">
        <v>15</v>
      </c>
      <c r="C3" s="6" t="s">
        <v>16</v>
      </c>
      <c r="D3" s="6" t="s">
        <v>17</v>
      </c>
      <c r="E3" s="8">
        <v>20.0</v>
      </c>
      <c r="F3" s="7" t="s">
        <v>18</v>
      </c>
      <c r="G3" s="8">
        <f>E3</f>
        <v>20</v>
      </c>
      <c r="H3" s="9" t="s">
        <v>13</v>
      </c>
      <c r="I3" s="7" t="s">
        <v>19</v>
      </c>
    </row>
    <row r="4" ht="22.5" customHeight="1">
      <c r="A4" s="5">
        <v>3.0</v>
      </c>
      <c r="B4" s="6" t="s">
        <v>20</v>
      </c>
      <c r="C4" s="6" t="s">
        <v>21</v>
      </c>
      <c r="D4" s="6" t="s">
        <v>17</v>
      </c>
      <c r="E4" s="8">
        <v>12.0</v>
      </c>
      <c r="F4" s="7" t="s">
        <v>22</v>
      </c>
      <c r="G4" s="8">
        <v>12.0</v>
      </c>
      <c r="H4" s="9" t="s">
        <v>13</v>
      </c>
      <c r="I4" s="7" t="s">
        <v>23</v>
      </c>
    </row>
    <row r="5" ht="22.5" customHeight="1">
      <c r="A5" s="5">
        <v>4.0</v>
      </c>
      <c r="B5" s="6" t="s">
        <v>24</v>
      </c>
      <c r="C5" s="6" t="s">
        <v>25</v>
      </c>
      <c r="D5" s="6" t="s">
        <v>17</v>
      </c>
      <c r="E5" s="10">
        <v>25.0</v>
      </c>
      <c r="F5" s="7" t="s">
        <v>26</v>
      </c>
      <c r="G5" s="8">
        <f>E5</f>
        <v>25</v>
      </c>
      <c r="H5" s="9" t="s">
        <v>13</v>
      </c>
      <c r="I5" s="7" t="s">
        <v>27</v>
      </c>
    </row>
    <row r="6" ht="22.5" customHeight="1">
      <c r="A6" s="5">
        <v>5.0</v>
      </c>
      <c r="B6" s="6" t="s">
        <v>28</v>
      </c>
      <c r="C6" s="6" t="s">
        <v>29</v>
      </c>
      <c r="D6" s="6" t="s">
        <v>30</v>
      </c>
      <c r="E6" s="11" t="s">
        <v>31</v>
      </c>
      <c r="F6" s="6" t="s">
        <v>32</v>
      </c>
      <c r="G6" s="8">
        <v>0.0</v>
      </c>
      <c r="H6" s="9" t="s">
        <v>13</v>
      </c>
      <c r="I6" s="6" t="s">
        <v>33</v>
      </c>
    </row>
    <row r="7" ht="22.5" customHeight="1">
      <c r="A7" s="5">
        <v>6.0</v>
      </c>
      <c r="B7" s="6" t="s">
        <v>34</v>
      </c>
      <c r="C7" s="6" t="s">
        <v>35</v>
      </c>
      <c r="D7" s="6" t="s">
        <v>36</v>
      </c>
      <c r="E7" s="11" t="s">
        <v>31</v>
      </c>
      <c r="F7" s="6" t="s">
        <v>37</v>
      </c>
      <c r="G7" s="8">
        <v>0.0</v>
      </c>
      <c r="H7" s="9" t="s">
        <v>13</v>
      </c>
      <c r="I7" s="6" t="s">
        <v>38</v>
      </c>
    </row>
    <row r="8" ht="22.5" customHeight="1">
      <c r="A8" s="5">
        <v>7.0</v>
      </c>
      <c r="B8" s="6" t="s">
        <v>39</v>
      </c>
      <c r="C8" s="6" t="s">
        <v>40</v>
      </c>
      <c r="D8" s="6" t="s">
        <v>41</v>
      </c>
      <c r="E8" s="11" t="s">
        <v>42</v>
      </c>
      <c r="F8" s="7" t="s">
        <v>43</v>
      </c>
      <c r="G8" s="8">
        <v>0.0</v>
      </c>
      <c r="H8" s="9" t="s">
        <v>13</v>
      </c>
      <c r="I8" s="6" t="s">
        <v>44</v>
      </c>
    </row>
    <row r="9" ht="22.5" customHeight="1">
      <c r="A9" s="5">
        <v>8.0</v>
      </c>
      <c r="B9" s="6" t="s">
        <v>45</v>
      </c>
      <c r="C9" s="6" t="s">
        <v>46</v>
      </c>
      <c r="D9" s="6" t="s">
        <v>47</v>
      </c>
      <c r="E9" s="11" t="s">
        <v>48</v>
      </c>
      <c r="F9" s="7" t="s">
        <v>49</v>
      </c>
      <c r="G9" s="8">
        <v>0.0</v>
      </c>
      <c r="H9" s="9" t="s">
        <v>13</v>
      </c>
      <c r="I9" s="6" t="s">
        <v>50</v>
      </c>
    </row>
    <row r="10" ht="22.5" customHeight="1">
      <c r="A10" s="5">
        <v>9.0</v>
      </c>
      <c r="B10" s="6" t="s">
        <v>51</v>
      </c>
      <c r="C10" s="6" t="s">
        <v>52</v>
      </c>
      <c r="D10" s="6" t="s">
        <v>53</v>
      </c>
      <c r="E10" s="12" t="s">
        <v>54</v>
      </c>
      <c r="F10" s="7" t="s">
        <v>55</v>
      </c>
      <c r="G10" s="8">
        <v>15.0</v>
      </c>
      <c r="H10" s="9" t="s">
        <v>13</v>
      </c>
      <c r="I10" s="7" t="s">
        <v>56</v>
      </c>
    </row>
    <row r="11" ht="22.5" customHeight="1">
      <c r="A11" s="5">
        <v>10.0</v>
      </c>
      <c r="B11" s="6" t="s">
        <v>57</v>
      </c>
      <c r="C11" s="6" t="s">
        <v>58</v>
      </c>
      <c r="D11" s="6" t="s">
        <v>59</v>
      </c>
      <c r="E11" s="12" t="s">
        <v>60</v>
      </c>
      <c r="F11" s="13" t="s">
        <v>61</v>
      </c>
      <c r="G11" s="8">
        <v>20.0</v>
      </c>
      <c r="H11" s="14" t="s">
        <v>13</v>
      </c>
      <c r="I11" s="6" t="s">
        <v>62</v>
      </c>
    </row>
    <row r="12" ht="22.5" customHeight="1">
      <c r="A12" s="5">
        <v>11.0</v>
      </c>
      <c r="B12" s="6" t="s">
        <v>63</v>
      </c>
      <c r="C12" s="6" t="s">
        <v>64</v>
      </c>
      <c r="D12" s="6" t="s">
        <v>65</v>
      </c>
      <c r="E12" s="12" t="s">
        <v>66</v>
      </c>
      <c r="F12" s="7" t="s">
        <v>67</v>
      </c>
      <c r="G12" s="8">
        <v>0.0</v>
      </c>
      <c r="H12" s="9" t="s">
        <v>13</v>
      </c>
      <c r="I12" s="7" t="s">
        <v>68</v>
      </c>
    </row>
    <row r="13" ht="22.5" customHeight="1">
      <c r="A13" s="5">
        <v>12.0</v>
      </c>
      <c r="B13" s="6" t="s">
        <v>69</v>
      </c>
      <c r="C13" s="6" t="s">
        <v>70</v>
      </c>
      <c r="D13" s="6" t="s">
        <v>71</v>
      </c>
      <c r="E13" s="12" t="s">
        <v>66</v>
      </c>
      <c r="F13" s="7" t="s">
        <v>72</v>
      </c>
      <c r="G13" s="8">
        <v>0.0</v>
      </c>
      <c r="H13" s="9" t="s">
        <v>13</v>
      </c>
      <c r="I13" s="6" t="s">
        <v>73</v>
      </c>
    </row>
    <row r="14" ht="22.5" customHeight="1">
      <c r="A14" s="5">
        <v>13.0</v>
      </c>
      <c r="B14" s="6" t="s">
        <v>74</v>
      </c>
      <c r="C14" s="6" t="s">
        <v>75</v>
      </c>
      <c r="D14" s="6" t="s">
        <v>71</v>
      </c>
      <c r="E14" s="12" t="s">
        <v>66</v>
      </c>
      <c r="F14" s="7" t="s">
        <v>76</v>
      </c>
      <c r="G14" s="8">
        <v>4.0</v>
      </c>
      <c r="H14" s="9" t="s">
        <v>13</v>
      </c>
      <c r="I14" s="6" t="s">
        <v>77</v>
      </c>
    </row>
    <row r="15" ht="22.5" customHeight="1">
      <c r="A15" s="5">
        <v>14.0</v>
      </c>
      <c r="B15" s="6" t="s">
        <v>78</v>
      </c>
      <c r="C15" s="6" t="s">
        <v>79</v>
      </c>
      <c r="D15" s="6" t="s">
        <v>65</v>
      </c>
      <c r="E15" s="12" t="s">
        <v>66</v>
      </c>
      <c r="F15" s="6" t="s">
        <v>80</v>
      </c>
      <c r="G15" s="8">
        <v>0.0</v>
      </c>
      <c r="H15" s="9" t="s">
        <v>81</v>
      </c>
      <c r="I15" s="6" t="s">
        <v>82</v>
      </c>
    </row>
    <row r="16" ht="22.5" customHeight="1">
      <c r="A16" s="5">
        <v>15.0</v>
      </c>
      <c r="B16" s="6" t="s">
        <v>83</v>
      </c>
      <c r="C16" s="6" t="s">
        <v>84</v>
      </c>
      <c r="D16" s="6" t="s">
        <v>65</v>
      </c>
      <c r="E16" s="12" t="s">
        <v>66</v>
      </c>
      <c r="F16" s="6" t="s">
        <v>85</v>
      </c>
      <c r="G16" s="8">
        <v>0.0</v>
      </c>
      <c r="H16" s="9" t="s">
        <v>13</v>
      </c>
      <c r="I16" s="6" t="s">
        <v>86</v>
      </c>
    </row>
    <row r="17" ht="22.5" customHeight="1">
      <c r="A17" s="5">
        <v>16.0</v>
      </c>
      <c r="B17" s="6" t="s">
        <v>87</v>
      </c>
      <c r="C17" s="6" t="s">
        <v>88</v>
      </c>
      <c r="D17" s="6" t="s">
        <v>65</v>
      </c>
      <c r="E17" s="12" t="s">
        <v>66</v>
      </c>
      <c r="F17" s="6" t="s">
        <v>89</v>
      </c>
      <c r="G17" s="8">
        <v>0.0</v>
      </c>
      <c r="H17" s="9" t="s">
        <v>13</v>
      </c>
      <c r="I17" s="6" t="s">
        <v>90</v>
      </c>
    </row>
    <row r="18" ht="22.5" customHeight="1">
      <c r="A18" s="5">
        <v>17.0</v>
      </c>
      <c r="B18" s="6" t="s">
        <v>91</v>
      </c>
      <c r="C18" s="6" t="s">
        <v>92</v>
      </c>
      <c r="D18" s="6" t="s">
        <v>93</v>
      </c>
      <c r="E18" s="12" t="s">
        <v>66</v>
      </c>
      <c r="F18" s="7" t="s">
        <v>94</v>
      </c>
      <c r="G18" s="8">
        <v>0.0</v>
      </c>
      <c r="H18" s="9" t="s">
        <v>13</v>
      </c>
      <c r="I18" s="6" t="s">
        <v>95</v>
      </c>
    </row>
    <row r="19" ht="22.5" customHeight="1">
      <c r="A19" s="5">
        <v>18.0</v>
      </c>
      <c r="B19" s="6" t="s">
        <v>96</v>
      </c>
      <c r="C19" s="6" t="s">
        <v>97</v>
      </c>
      <c r="D19" s="6" t="s">
        <v>41</v>
      </c>
      <c r="E19" s="12" t="s">
        <v>66</v>
      </c>
      <c r="F19" s="7" t="s">
        <v>98</v>
      </c>
      <c r="G19" s="8">
        <v>0.0</v>
      </c>
      <c r="H19" s="9" t="s">
        <v>13</v>
      </c>
      <c r="I19" s="7" t="s">
        <v>99</v>
      </c>
    </row>
    <row r="20" ht="22.5" customHeight="1">
      <c r="A20" s="5">
        <v>19.0</v>
      </c>
      <c r="B20" s="6" t="s">
        <v>100</v>
      </c>
      <c r="C20" s="6" t="s">
        <v>101</v>
      </c>
      <c r="D20" s="6" t="s">
        <v>65</v>
      </c>
      <c r="E20" s="12" t="s">
        <v>66</v>
      </c>
      <c r="F20" s="6" t="s">
        <v>102</v>
      </c>
      <c r="G20" s="8">
        <v>0.0</v>
      </c>
      <c r="H20" s="9" t="s">
        <v>13</v>
      </c>
      <c r="I20" s="6" t="s">
        <v>103</v>
      </c>
    </row>
    <row r="21" ht="22.5" customHeight="1">
      <c r="A21" s="5">
        <v>20.0</v>
      </c>
      <c r="B21" s="6" t="s">
        <v>104</v>
      </c>
      <c r="C21" s="7" t="s">
        <v>105</v>
      </c>
      <c r="D21" s="6" t="s">
        <v>106</v>
      </c>
      <c r="E21" s="12" t="s">
        <v>66</v>
      </c>
      <c r="F21" s="7" t="s">
        <v>107</v>
      </c>
      <c r="G21" s="8">
        <v>0.0</v>
      </c>
      <c r="H21" s="9" t="s">
        <v>81</v>
      </c>
      <c r="I21" s="6" t="s">
        <v>108</v>
      </c>
    </row>
    <row r="22" ht="22.5" customHeight="1">
      <c r="A22" s="15"/>
      <c r="B22" s="15"/>
      <c r="C22" s="15"/>
      <c r="D22" s="15"/>
      <c r="E22" s="16"/>
      <c r="F22" s="15"/>
      <c r="G22" s="17">
        <f>sum(Tabla_1[Costo mensual considerado])</f>
        <v>96.93333333</v>
      </c>
      <c r="H22" s="15"/>
      <c r="I22" s="15"/>
    </row>
    <row r="23">
      <c r="G23" s="18"/>
    </row>
  </sheetData>
  <dataValidations>
    <dataValidation type="custom" allowBlank="1" showDropDown="1" sqref="A2:A21 G2:G21">
      <formula1>AND(ISNUMBER(A2),(NOT(OR(NOT(ISERROR(DATEVALUE(A2))), AND(ISNUMBER(A2), LEFT(CELL("format", A2))="D")))))</formula1>
    </dataValidation>
    <dataValidation type="list" allowBlank="1" showDropDown="1" showErrorMessage="1" sqref="H2:H21">
      <formula1>"✅,🟡"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